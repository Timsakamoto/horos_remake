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Dropbox\000.PixSpace\30.製品開発\001.Attractive\002.DB定義\"/>
    </mc:Choice>
  </mc:AlternateContent>
  <xr:revisionPtr revIDLastSave="0" documentId="13_ncr:1_{854E27F2-C08A-4C3A-A745-C4204B49AE19}" xr6:coauthVersionLast="47" xr6:coauthVersionMax="47" xr10:uidLastSave="{00000000-0000-0000-0000-000000000000}"/>
  <bookViews>
    <workbookView xWindow="-120" yWindow="-120" windowWidth="29040" windowHeight="15720" tabRatio="679" firstSheet="1" activeTab="8" xr2:uid="{00000000-000D-0000-FFFF-FFFF00000000}"/>
  </bookViews>
  <sheets>
    <sheet name="DB情報" sheetId="2" r:id="rId1"/>
    <sheet name="テーブル比較" sheetId="27" r:id="rId2"/>
    <sheet name="患者テーブル" sheetId="29" r:id="rId3"/>
    <sheet name="検査テーブル" sheetId="30" r:id="rId4"/>
    <sheet name="サブシリーズテーブル" sheetId="32" r:id="rId5"/>
    <sheet name="ルートパステーブル" sheetId="41" r:id="rId6"/>
    <sheet name="ファイルパステーブル" sheetId="37" r:id="rId7"/>
    <sheet name="サブシリーズ圧縮テーブル" sheetId="42" r:id="rId8"/>
    <sheet name="データ付加情報テーブル" sheetId="40" r:id="rId9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2" l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94" i="42" s="1"/>
  <c r="A95" i="42" s="1"/>
  <c r="A96" i="42" s="1"/>
  <c r="A97" i="42" s="1"/>
  <c r="A98" i="42" s="1"/>
  <c r="A99" i="42" s="1"/>
  <c r="A100" i="42" s="1"/>
  <c r="A101" i="42" s="1"/>
  <c r="A102" i="42" s="1"/>
  <c r="A103" i="42" s="1"/>
  <c r="A104" i="42" s="1"/>
  <c r="A105" i="42" s="1"/>
  <c r="A106" i="42" s="1"/>
  <c r="A107" i="42" s="1"/>
  <c r="A108" i="42" s="1"/>
  <c r="A109" i="42" s="1"/>
  <c r="A110" i="42" s="1"/>
  <c r="A111" i="42" s="1"/>
  <c r="A112" i="42" s="1"/>
  <c r="A113" i="42" s="1"/>
  <c r="A114" i="42" s="1"/>
  <c r="A115" i="42" s="1"/>
  <c r="A116" i="42" s="1"/>
  <c r="A117" i="42" s="1"/>
  <c r="A118" i="42" s="1"/>
  <c r="A119" i="42" s="1"/>
  <c r="A120" i="42" s="1"/>
  <c r="A121" i="42" s="1"/>
  <c r="A122" i="42" s="1"/>
  <c r="A123" i="42" s="1"/>
  <c r="A124" i="42" s="1"/>
  <c r="A125" i="42" s="1"/>
  <c r="A126" i="42" s="1"/>
  <c r="A127" i="42" s="1"/>
  <c r="A128" i="42" s="1"/>
  <c r="A129" i="42" s="1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A147" i="42" s="1"/>
  <c r="A148" i="42" s="1"/>
  <c r="A149" i="42" s="1"/>
  <c r="A150" i="42" s="1"/>
  <c r="A151" i="42" s="1"/>
  <c r="A152" i="42" s="1"/>
  <c r="A153" i="42" s="1"/>
  <c r="A154" i="42" s="1"/>
  <c r="A155" i="42" s="1"/>
  <c r="A156" i="42" s="1"/>
  <c r="A157" i="42" s="1"/>
  <c r="A158" i="42" s="1"/>
  <c r="A159" i="42" s="1"/>
  <c r="A160" i="42" s="1"/>
  <c r="A161" i="42" s="1"/>
  <c r="A162" i="42" s="1"/>
  <c r="A163" i="42" s="1"/>
  <c r="A164" i="42" s="1"/>
  <c r="A165" i="42" s="1"/>
  <c r="A166" i="42" s="1"/>
  <c r="A167" i="42" s="1"/>
  <c r="A168" i="42" s="1"/>
  <c r="A169" i="42" s="1"/>
  <c r="A170" i="42" s="1"/>
  <c r="A171" i="42" s="1"/>
  <c r="A172" i="42" s="1"/>
  <c r="A173" i="42" s="1"/>
  <c r="A174" i="42" s="1"/>
  <c r="A5" i="41" l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A171" i="41" s="1"/>
  <c r="A172" i="41" s="1"/>
  <c r="A173" i="41" s="1"/>
  <c r="A174" i="41" s="1"/>
  <c r="A5" i="40" l="1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14" i="40" s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A126" i="40" s="1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144" i="40" s="1"/>
  <c r="A145" i="40" s="1"/>
  <c r="A146" i="40" s="1"/>
  <c r="A147" i="40" s="1"/>
  <c r="A148" i="40" s="1"/>
  <c r="A149" i="40" s="1"/>
  <c r="A150" i="40" s="1"/>
  <c r="A151" i="40" s="1"/>
  <c r="A152" i="40" s="1"/>
  <c r="A153" i="40" s="1"/>
  <c r="A154" i="40" s="1"/>
  <c r="A155" i="40" s="1"/>
  <c r="A156" i="40" s="1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170" i="40" s="1"/>
  <c r="A171" i="40" s="1"/>
  <c r="A172" i="40" s="1"/>
  <c r="A173" i="40" s="1"/>
  <c r="A5" i="37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5" i="32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5" i="30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8" i="29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5" i="29"/>
  <c r="A6" i="29" s="1"/>
  <c r="A7" i="29" s="1"/>
</calcChain>
</file>

<file path=xl/sharedStrings.xml><?xml version="1.0" encoding="utf-8"?>
<sst xmlns="http://schemas.openxmlformats.org/spreadsheetml/2006/main" count="272" uniqueCount="103">
  <si>
    <t>定義・範囲</t>
  </si>
  <si>
    <t>備考</t>
  </si>
  <si>
    <t>DB</t>
  </si>
  <si>
    <t>0:不明 1:男性 2:女性</t>
  </si>
  <si>
    <t>サイトID等</t>
  </si>
  <si>
    <t>No.</t>
    <phoneticPr fontId="5"/>
  </si>
  <si>
    <t>物理名</t>
    <rPh sb="0" eb="2">
      <t>ブツリ</t>
    </rPh>
    <rPh sb="2" eb="3">
      <t>メイ</t>
    </rPh>
    <phoneticPr fontId="5"/>
  </si>
  <si>
    <t>理論名</t>
    <rPh sb="0" eb="2">
      <t>リロン</t>
    </rPh>
    <rPh sb="2" eb="3">
      <t>メイ</t>
    </rPh>
    <phoneticPr fontId="5"/>
  </si>
  <si>
    <t>型</t>
    <rPh sb="0" eb="1">
      <t>カタ</t>
    </rPh>
    <phoneticPr fontId="5"/>
  </si>
  <si>
    <t>サイズ</t>
    <phoneticPr fontId="5"/>
  </si>
  <si>
    <t>PK</t>
    <phoneticPr fontId="5"/>
  </si>
  <si>
    <t>FK</t>
    <phoneticPr fontId="5"/>
  </si>
  <si>
    <t>NotNull</t>
    <phoneticPr fontId="5"/>
  </si>
  <si>
    <t>Index</t>
    <phoneticPr fontId="5"/>
  </si>
  <si>
    <t>論理名</t>
    <rPh sb="0" eb="2">
      <t>ロンリ</t>
    </rPh>
    <rPh sb="2" eb="3">
      <t>メイ</t>
    </rPh>
    <phoneticPr fontId="5"/>
  </si>
  <si>
    <t>患者テーブル</t>
    <rPh sb="0" eb="2">
      <t>カンジャ</t>
    </rPh>
    <phoneticPr fontId="5"/>
  </si>
  <si>
    <t>患者ID</t>
    <rPh sb="0" eb="2">
      <t>カンジャ</t>
    </rPh>
    <phoneticPr fontId="5"/>
  </si>
  <si>
    <t>付加ID</t>
    <rPh sb="0" eb="2">
      <t>フカ</t>
    </rPh>
    <phoneticPr fontId="5"/>
  </si>
  <si>
    <t>text</t>
    <phoneticPr fontId="5"/>
  </si>
  <si>
    <t>○</t>
    <phoneticPr fontId="5"/>
  </si>
  <si>
    <t>PatientID</t>
    <phoneticPr fontId="5"/>
  </si>
  <si>
    <t>AdditionalID</t>
    <phoneticPr fontId="5"/>
  </si>
  <si>
    <t>integer</t>
    <phoneticPr fontId="5"/>
  </si>
  <si>
    <t>誕生日時</t>
    <rPh sb="0" eb="2">
      <t>タンジョウ</t>
    </rPh>
    <rPh sb="2" eb="4">
      <t>ニチジ</t>
    </rPh>
    <phoneticPr fontId="5"/>
  </si>
  <si>
    <t>BirthDateTime</t>
    <phoneticPr fontId="5"/>
  </si>
  <si>
    <t>Sex</t>
    <phoneticPr fontId="5"/>
  </si>
  <si>
    <t>性別</t>
    <rPh sb="0" eb="2">
      <t>セイベツ</t>
    </rPh>
    <phoneticPr fontId="5"/>
  </si>
  <si>
    <t>SQLite 3</t>
    <phoneticPr fontId="5"/>
  </si>
  <si>
    <t>検査テーブル</t>
    <rPh sb="0" eb="2">
      <t>ケンサ</t>
    </rPh>
    <phoneticPr fontId="5"/>
  </si>
  <si>
    <t>検査インスタンスUID</t>
    <rPh sb="0" eb="2">
      <t>ケンサ</t>
    </rPh>
    <phoneticPr fontId="5"/>
  </si>
  <si>
    <t>StudyInstanceUID</t>
    <phoneticPr fontId="5"/>
  </si>
  <si>
    <t>PatientName</t>
    <phoneticPr fontId="5"/>
  </si>
  <si>
    <t>患者名</t>
    <rPh sb="0" eb="2">
      <t>カンジャ</t>
    </rPh>
    <rPh sb="2" eb="3">
      <t>メイ</t>
    </rPh>
    <phoneticPr fontId="5"/>
  </si>
  <si>
    <t>Age</t>
    <phoneticPr fontId="5"/>
  </si>
  <si>
    <t>年齢</t>
    <rPh sb="0" eb="2">
      <t>ネンレイ</t>
    </rPh>
    <phoneticPr fontId="5"/>
  </si>
  <si>
    <t>検査日時</t>
    <rPh sb="0" eb="2">
      <t>ケンサ</t>
    </rPh>
    <rPh sb="2" eb="4">
      <t>ニチジ</t>
    </rPh>
    <phoneticPr fontId="5"/>
  </si>
  <si>
    <t>StudyDateTime</t>
    <phoneticPr fontId="5"/>
  </si>
  <si>
    <t>受付番号</t>
    <rPh sb="0" eb="2">
      <t>ウケツケ</t>
    </rPh>
    <rPh sb="2" eb="4">
      <t>バンゴウ</t>
    </rPh>
    <phoneticPr fontId="5"/>
  </si>
  <si>
    <t>AccessionNumber</t>
    <phoneticPr fontId="5"/>
  </si>
  <si>
    <t>検査記述</t>
    <rPh sb="0" eb="2">
      <t>ケンサ</t>
    </rPh>
    <rPh sb="2" eb="4">
      <t>キジュツ</t>
    </rPh>
    <phoneticPr fontId="5"/>
  </si>
  <si>
    <t>施設名</t>
    <rPh sb="0" eb="2">
      <t>シセツ</t>
    </rPh>
    <rPh sb="2" eb="3">
      <t>メイ</t>
    </rPh>
    <phoneticPr fontId="5"/>
  </si>
  <si>
    <t>InstitutionName</t>
    <phoneticPr fontId="5"/>
  </si>
  <si>
    <t>検査部位</t>
    <rPh sb="0" eb="2">
      <t>ケンサ</t>
    </rPh>
    <rPh sb="2" eb="4">
      <t>ブイ</t>
    </rPh>
    <phoneticPr fontId="5"/>
  </si>
  <si>
    <t>BodyParts</t>
    <phoneticPr fontId="5"/>
  </si>
  <si>
    <t>サブシリーズテーブル</t>
    <phoneticPr fontId="5"/>
  </si>
  <si>
    <t>サブシリーズUID</t>
    <phoneticPr fontId="5"/>
  </si>
  <si>
    <t>SubSeriesUID</t>
    <phoneticPr fontId="5"/>
  </si>
  <si>
    <t>SeriesInstanceUID</t>
    <phoneticPr fontId="5"/>
  </si>
  <si>
    <t>シリーズインスタンスUID</t>
    <phoneticPr fontId="5"/>
  </si>
  <si>
    <t>SeriesNumber</t>
    <phoneticPr fontId="5"/>
  </si>
  <si>
    <t>シリーズ番号</t>
    <rPh sb="4" eb="6">
      <t>バンゴウ</t>
    </rPh>
    <phoneticPr fontId="5"/>
  </si>
  <si>
    <t>Modality</t>
    <phoneticPr fontId="5"/>
  </si>
  <si>
    <t>モダリティ</t>
    <phoneticPr fontId="5"/>
  </si>
  <si>
    <t>スライス厚</t>
    <rPh sb="4" eb="5">
      <t>アツ</t>
    </rPh>
    <phoneticPr fontId="5"/>
  </si>
  <si>
    <t>real</t>
    <phoneticPr fontId="5"/>
  </si>
  <si>
    <t>SliceThickness</t>
    <phoneticPr fontId="5"/>
  </si>
  <si>
    <t>Comment</t>
    <phoneticPr fontId="5"/>
  </si>
  <si>
    <t>コメント</t>
    <phoneticPr fontId="5"/>
  </si>
  <si>
    <t>保護</t>
    <rPh sb="0" eb="2">
      <t>ホゴ</t>
    </rPh>
    <phoneticPr fontId="5"/>
  </si>
  <si>
    <t>default</t>
    <phoneticPr fontId="5"/>
  </si>
  <si>
    <t>Default</t>
    <phoneticPr fontId="5"/>
  </si>
  <si>
    <t>Protect</t>
    <phoneticPr fontId="5"/>
  </si>
  <si>
    <t>FOV</t>
    <phoneticPr fontId="5"/>
  </si>
  <si>
    <t>1以上で保護</t>
    <rPh sb="1" eb="3">
      <t>イジョウ</t>
    </rPh>
    <rPh sb="4" eb="6">
      <t>ホゴ</t>
    </rPh>
    <phoneticPr fontId="5"/>
  </si>
  <si>
    <t>シリーズ記述</t>
    <rPh sb="4" eb="6">
      <t>キジュツ</t>
    </rPh>
    <phoneticPr fontId="5"/>
  </si>
  <si>
    <t>ファイルパステーブル</t>
    <phoneticPr fontId="5"/>
  </si>
  <si>
    <t>RootPath</t>
    <phoneticPr fontId="5"/>
  </si>
  <si>
    <t>ルートパス</t>
    <phoneticPr fontId="5"/>
  </si>
  <si>
    <t>インポート日時</t>
    <rPh sb="5" eb="7">
      <t>ニチジ</t>
    </rPh>
    <phoneticPr fontId="5"/>
  </si>
  <si>
    <t>ImportDateTime</t>
    <phoneticPr fontId="5"/>
  </si>
  <si>
    <t>ファイル相対パス</t>
    <rPh sb="4" eb="6">
      <t>ソウタイ</t>
    </rPh>
    <phoneticPr fontId="5"/>
  </si>
  <si>
    <t>FilePath</t>
    <phoneticPr fontId="5"/>
  </si>
  <si>
    <t>Tag</t>
    <phoneticPr fontId="5"/>
  </si>
  <si>
    <t>Value</t>
    <phoneticPr fontId="5"/>
  </si>
  <si>
    <t>値</t>
    <rPh sb="0" eb="1">
      <t>アタイ</t>
    </rPh>
    <phoneticPr fontId="5"/>
  </si>
  <si>
    <t>DataUID</t>
    <phoneticPr fontId="5"/>
  </si>
  <si>
    <t>データUID</t>
    <phoneticPr fontId="5"/>
  </si>
  <si>
    <t>Level</t>
    <phoneticPr fontId="5"/>
  </si>
  <si>
    <t>データレベル</t>
    <phoneticPr fontId="5"/>
  </si>
  <si>
    <t>0:患者,1:検査,2:シリーズ</t>
    <rPh sb="2" eb="4">
      <t>カンジャ</t>
    </rPh>
    <rPh sb="7" eb="9">
      <t>ケンサ</t>
    </rPh>
    <phoneticPr fontId="5"/>
  </si>
  <si>
    <t>DataTypeMark</t>
    <phoneticPr fontId="5"/>
  </si>
  <si>
    <t>データタイプ目印</t>
    <rPh sb="6" eb="8">
      <t>メジルシ</t>
    </rPh>
    <phoneticPr fontId="5"/>
  </si>
  <si>
    <t>データ付加情報テーブル</t>
    <rPh sb="3" eb="5">
      <t>フカ</t>
    </rPh>
    <rPh sb="5" eb="7">
      <t>ジョウホウ</t>
    </rPh>
    <phoneticPr fontId="5"/>
  </si>
  <si>
    <t>text</t>
    <phoneticPr fontId="5"/>
  </si>
  <si>
    <t>StudyDescription</t>
    <phoneticPr fontId="5"/>
  </si>
  <si>
    <t>SeriesDescription</t>
    <phoneticPr fontId="5"/>
  </si>
  <si>
    <t>ルートパステーブル</t>
    <phoneticPr fontId="5"/>
  </si>
  <si>
    <t>T_Patient</t>
    <phoneticPr fontId="5"/>
  </si>
  <si>
    <t>T_Study</t>
    <phoneticPr fontId="5"/>
  </si>
  <si>
    <t>T_Subseries</t>
    <phoneticPr fontId="5"/>
  </si>
  <si>
    <t>T_RootPath</t>
    <phoneticPr fontId="5"/>
  </si>
  <si>
    <t>T_FilePath</t>
    <phoneticPr fontId="5"/>
  </si>
  <si>
    <t>T_AdditionalData</t>
    <phoneticPr fontId="5"/>
  </si>
  <si>
    <t>SOPInstanceUID</t>
    <phoneticPr fontId="5"/>
  </si>
  <si>
    <t>InstanceNumber</t>
    <phoneticPr fontId="5"/>
  </si>
  <si>
    <t>integer</t>
    <phoneticPr fontId="5"/>
  </si>
  <si>
    <t>SOPインスタンスUID</t>
    <phoneticPr fontId="5"/>
  </si>
  <si>
    <t>画像番号</t>
    <rPh sb="0" eb="2">
      <t>ガゾウ</t>
    </rPh>
    <rPh sb="2" eb="4">
      <t>バンゴウ</t>
    </rPh>
    <phoneticPr fontId="5"/>
  </si>
  <si>
    <t>T_SubSeriesCompression</t>
    <phoneticPr fontId="5"/>
  </si>
  <si>
    <t>サブシリーズ圧縮テーブル</t>
    <phoneticPr fontId="5"/>
  </si>
  <si>
    <t>TransferSyntax</t>
    <phoneticPr fontId="5"/>
  </si>
  <si>
    <t>転送構文（圧縮ID）</t>
    <rPh sb="0" eb="2">
      <t>テンソウ</t>
    </rPh>
    <rPh sb="2" eb="4">
      <t>コウブン</t>
    </rPh>
    <rPh sb="5" eb="7">
      <t>アッシュク</t>
    </rPh>
    <phoneticPr fontId="5"/>
  </si>
  <si>
    <t>タグ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</si>
</sst>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-&quot;¥&quot;* #,##0.00_-\ ;\-&quot;¥&quot;* #,##0.00_-\ ;_-&quot;¥&quot;* &quot;-&quot;??_-\ ;_-@_-"/>
  </numFmts>
  <fonts count="6" x14ac:knownFonts="1">
    <font>
      <sz val="11"/>
      <color indexed="8"/>
      <name val="ＭＳ Ｐゴシック"/>
      <family val="2"/>
      <charset val="134"/>
    </font>
    <font>
      <u/>
      <sz val="11"/>
      <color indexed="12"/>
      <name val="ＭＳ Ｐゴシック"/>
      <family val="2"/>
      <charset val="134"/>
    </font>
    <font>
      <sz val="11"/>
      <color indexed="8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2"/>
      <charset val="134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 applyAlignment="1"/>
    <xf numFmtId="0" fontId="2" fillId="0" borderId="0" xfId="1" applyFont="1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ハイパーリンク" xfId="4" xr:uid="{00000000-0005-0000-0000-000000000000}"/>
    <cellStyle name="桁区切り[0]" xfId="2" xr:uid="{00000000-0005-0000-0000-000001000000}"/>
    <cellStyle name="通貨[0]" xfId="3" xr:uid="{00000000-0005-0000-0000-000002000000}"/>
    <cellStyle name="標準" xfId="0" builtinId="0"/>
    <cellStyle name="標準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676275</xdr:colOff>
          <xdr:row>1</xdr:row>
          <xdr:rowOff>19050</xdr:rowOff>
        </xdr:from>
        <xdr:to>
          <xdr:col>12</xdr:col>
          <xdr:colOff>42459</xdr:colOff>
          <xdr:row>7</xdr:row>
          <xdr:rowOff>42008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患者テーブル!$A$2:$L$7" spid="_x0000_s17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76275" y="187138"/>
              <a:ext cx="7568890" cy="1031488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11205</xdr:colOff>
          <xdr:row>22</xdr:row>
          <xdr:rowOff>47625</xdr:rowOff>
        </xdr:from>
        <xdr:to>
          <xdr:col>14</xdr:col>
          <xdr:colOff>125505</xdr:colOff>
          <xdr:row>32</xdr:row>
          <xdr:rowOff>57150</xdr:rowOff>
        </xdr:to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サブシリーズテーブル!$A$2:$L$11" spid="_x0000_s17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97005" y="3819525"/>
              <a:ext cx="9029700" cy="1724025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1681</xdr:colOff>
          <xdr:row>15</xdr:row>
          <xdr:rowOff>25774</xdr:rowOff>
        </xdr:from>
        <xdr:to>
          <xdr:col>28</xdr:col>
          <xdr:colOff>115981</xdr:colOff>
          <xdr:row>21</xdr:row>
          <xdr:rowOff>35300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データ付加情報テーブル!$A$2:$L$7" spid="_x0000_s172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288681" y="2597524"/>
              <a:ext cx="9029700" cy="1038226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</xdr:row>
          <xdr:rowOff>0</xdr:rowOff>
        </xdr:from>
        <xdr:to>
          <xdr:col>27</xdr:col>
          <xdr:colOff>361950</xdr:colOff>
          <xdr:row>7</xdr:row>
          <xdr:rowOff>9525</xdr:rowOff>
        </xdr:to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ルートパステーブル!$A$2:$L$7" spid="_x0000_s173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0287000" y="171450"/>
              <a:ext cx="8591550" cy="1038225"/>
            </a:xfrm>
            <a:prstGeom prst="rect">
              <a:avLst/>
            </a:prstGeom>
            <a:solidFill>
              <a:sysClr val="window" lastClr="FFFFFF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13</xdr:col>
          <xdr:colOff>364671</xdr:colOff>
          <xdr:row>21</xdr:row>
          <xdr:rowOff>35379</xdr:rowOff>
        </xdr:to>
        <xdr:pic>
          <xdr:nvPicPr>
            <xdr:cNvPr id="117" name="図 116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検査テーブル!$A$2:$L$14" spid="_x0000_s173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85800" y="1371600"/>
              <a:ext cx="8594271" cy="2264229"/>
            </a:xfrm>
            <a:prstGeom prst="rect">
              <a:avLst/>
            </a:prstGeom>
            <a:solidFill>
              <a:sysClr val="window" lastClr="FFFFFF"/>
            </a:solidFill>
          </xdr:spPr>
        </xdr:pic>
        <xdr:clientData/>
      </xdr:twoCellAnchor>
    </mc:Choice>
    <mc:Fallback/>
  </mc:AlternateContent>
  <xdr:twoCellAnchor editAs="oneCell">
    <xdr:from>
      <xdr:col>15</xdr:col>
      <xdr:colOff>0</xdr:colOff>
      <xdr:row>1</xdr:row>
      <xdr:rowOff>0</xdr:rowOff>
    </xdr:from>
    <xdr:to>
      <xdr:col>27</xdr:col>
      <xdr:colOff>241300</xdr:colOff>
      <xdr:row>7</xdr:row>
      <xdr:rowOff>6350</xdr:rowOff>
    </xdr:to>
    <xdr:sp macro="" textlink="">
      <xdr:nvSpPr>
        <xdr:cNvPr id="1389" name="AutoShape 365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9163050" y="165100"/>
          <a:ext cx="7556500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14</xdr:col>
          <xdr:colOff>114300</xdr:colOff>
          <xdr:row>42</xdr:row>
          <xdr:rowOff>9525</xdr:rowOff>
        </xdr:to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768511F3-4E40-429C-B0E7-E5CFC2A28EC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ファイルパステーブル!$A$2:$L$9" spid="_x0000_s173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685800" y="5829300"/>
              <a:ext cx="9029700" cy="1381125"/>
            </a:xfrm>
            <a:prstGeom prst="rect">
              <a:avLst/>
            </a:prstGeom>
            <a:solidFill>
              <a:sysClr val="window" lastClr="FFFFFF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666750</xdr:colOff>
          <xdr:row>8</xdr:row>
          <xdr:rowOff>85725</xdr:rowOff>
        </xdr:from>
        <xdr:to>
          <xdr:col>28</xdr:col>
          <xdr:colOff>95250</xdr:colOff>
          <xdr:row>13</xdr:row>
          <xdr:rowOff>95250</xdr:rowOff>
        </xdr:to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F04FB747-395E-454A-9812-548110403E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サブシリーズ圧縮テーブル!$A$2:$L$6" spid="_x0000_s1733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0267950" y="1457325"/>
              <a:ext cx="9029700" cy="866775"/>
            </a:xfrm>
            <a:prstGeom prst="rect">
              <a:avLst/>
            </a:prstGeom>
            <a:solidFill>
              <a:sysClr val="window" lastClr="FFFFFF"/>
            </a:solidFill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B2"/>
  <sheetViews>
    <sheetView view="pageBreakPreview" zoomScale="130" zoomScaleNormal="100" zoomScaleSheetLayoutView="130" workbookViewId="0">
      <selection activeCell="C31" sqref="C31"/>
    </sheetView>
  </sheetViews>
  <sheetFormatPr defaultColWidth="8.875" defaultRowHeight="15.75" x14ac:dyDescent="0.25"/>
  <cols>
    <col min="1" max="1" width="9" style="1" customWidth="1"/>
    <col min="2" max="16384" width="8.875" style="1"/>
  </cols>
  <sheetData>
    <row r="2" spans="1:2" x14ac:dyDescent="0.25">
      <c r="A2" s="1" t="s">
        <v>2</v>
      </c>
      <c r="B2" s="1" t="s">
        <v>27</v>
      </c>
    </row>
  </sheetData>
  <phoneticPr fontId="5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A26" sqref="A26"/>
    </sheetView>
  </sheetViews>
  <sheetFormatPr defaultRowHeight="13.5" x14ac:dyDescent="0.15"/>
  <cols>
    <col min="1" max="1" width="9" customWidth="1"/>
  </cols>
  <sheetData/>
  <phoneticPr fontId="5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74"/>
  <sheetViews>
    <sheetView zoomScale="175" zoomScaleNormal="175" workbookViewId="0">
      <selection activeCell="F4" sqref="F4"/>
    </sheetView>
  </sheetViews>
  <sheetFormatPr defaultRowHeight="13.5" x14ac:dyDescent="0.15"/>
  <cols>
    <col min="1" max="1" width="9" customWidth="1"/>
    <col min="2" max="2" width="12.875" bestFit="1" customWidth="1"/>
    <col min="3" max="3" width="9" bestFit="1" customWidth="1"/>
    <col min="4" max="4" width="7" bestFit="1" customWidth="1"/>
    <col min="5" max="5" width="7.125" bestFit="1" customWidth="1"/>
    <col min="6" max="6" width="3.75" bestFit="1" customWidth="1"/>
    <col min="7" max="7" width="3.625" bestFit="1" customWidth="1"/>
    <col min="8" max="8" width="7.375" bestFit="1" customWidth="1"/>
    <col min="9" max="9" width="5.75" bestFit="1" customWidth="1"/>
    <col min="10" max="10" width="5.75" customWidth="1"/>
    <col min="11" max="11" width="19" bestFit="1" customWidth="1"/>
  </cols>
  <sheetData>
    <row r="2" spans="1:12" x14ac:dyDescent="0.15">
      <c r="A2" s="2" t="s">
        <v>6</v>
      </c>
      <c r="B2" s="5" t="s">
        <v>87</v>
      </c>
      <c r="C2" s="5"/>
      <c r="D2" s="5"/>
      <c r="E2" s="2" t="s">
        <v>14</v>
      </c>
      <c r="F2" s="6" t="s">
        <v>15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60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20</v>
      </c>
      <c r="C4" s="2" t="s">
        <v>16</v>
      </c>
      <c r="D4" s="2" t="s">
        <v>18</v>
      </c>
      <c r="E4" s="2"/>
      <c r="F4" s="2" t="s">
        <v>19</v>
      </c>
      <c r="G4" s="2"/>
      <c r="H4" s="2" t="s">
        <v>19</v>
      </c>
      <c r="I4" s="2"/>
      <c r="J4" s="2"/>
      <c r="K4" s="2"/>
      <c r="L4" s="2"/>
    </row>
    <row r="5" spans="1:12" x14ac:dyDescent="0.15">
      <c r="A5" s="2">
        <f>A4+1</f>
        <v>2</v>
      </c>
      <c r="B5" s="2" t="s">
        <v>21</v>
      </c>
      <c r="C5" s="2" t="s">
        <v>17</v>
      </c>
      <c r="D5" s="2" t="s">
        <v>18</v>
      </c>
      <c r="E5" s="2"/>
      <c r="F5" s="2" t="s">
        <v>19</v>
      </c>
      <c r="G5" s="2"/>
      <c r="H5" s="2" t="s">
        <v>19</v>
      </c>
      <c r="I5" s="2"/>
      <c r="J5" s="2"/>
      <c r="K5" s="2" t="s">
        <v>4</v>
      </c>
      <c r="L5" s="2"/>
    </row>
    <row r="6" spans="1:12" x14ac:dyDescent="0.15">
      <c r="A6" s="2">
        <f t="shared" ref="A6:A69" si="0">A5+1</f>
        <v>3</v>
      </c>
      <c r="B6" s="2" t="s">
        <v>24</v>
      </c>
      <c r="C6" s="2" t="s">
        <v>23</v>
      </c>
      <c r="D6" s="2" t="s">
        <v>83</v>
      </c>
      <c r="E6" s="2"/>
      <c r="F6" s="2"/>
      <c r="G6" s="2"/>
      <c r="H6" s="2"/>
      <c r="I6" s="2"/>
      <c r="J6" s="2"/>
      <c r="K6" s="2"/>
      <c r="L6" s="2"/>
    </row>
    <row r="7" spans="1:12" x14ac:dyDescent="0.15">
      <c r="A7" s="2">
        <f t="shared" si="0"/>
        <v>4</v>
      </c>
      <c r="B7" s="2" t="s">
        <v>25</v>
      </c>
      <c r="C7" s="2" t="s">
        <v>26</v>
      </c>
      <c r="D7" s="2" t="s">
        <v>22</v>
      </c>
      <c r="E7" s="2"/>
      <c r="F7" s="2"/>
      <c r="G7" s="2"/>
      <c r="H7" s="2"/>
      <c r="I7" s="2"/>
      <c r="J7" s="2"/>
      <c r="K7" s="2" t="s">
        <v>3</v>
      </c>
      <c r="L7" s="2"/>
    </row>
    <row r="8" spans="1:12" x14ac:dyDescent="0.15">
      <c r="A8" s="2">
        <f t="shared" si="0"/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74"/>
  <sheetViews>
    <sheetView topLeftCell="A2" zoomScale="175" zoomScaleNormal="175" workbookViewId="0">
      <selection activeCell="B3" sqref="B3"/>
    </sheetView>
  </sheetViews>
  <sheetFormatPr defaultRowHeight="13.5" x14ac:dyDescent="0.15"/>
  <cols>
    <col min="1" max="1" width="9" customWidth="1"/>
    <col min="2" max="2" width="16.5" bestFit="1" customWidth="1"/>
    <col min="3" max="3" width="18.75" bestFit="1" customWidth="1"/>
    <col min="4" max="4" width="7" customWidth="1"/>
    <col min="5" max="5" width="7.125" customWidth="1"/>
    <col min="6" max="6" width="3.75" customWidth="1"/>
    <col min="7" max="7" width="3.625" customWidth="1"/>
    <col min="8" max="8" width="7.375" customWidth="1"/>
    <col min="9" max="10" width="5.75" customWidth="1"/>
    <col min="11" max="11" width="19" customWidth="1"/>
  </cols>
  <sheetData>
    <row r="2" spans="1:12" x14ac:dyDescent="0.15">
      <c r="A2" s="2" t="s">
        <v>6</v>
      </c>
      <c r="B2" s="5" t="s">
        <v>88</v>
      </c>
      <c r="C2" s="5"/>
      <c r="D2" s="5"/>
      <c r="E2" s="2" t="s">
        <v>14</v>
      </c>
      <c r="F2" s="6" t="s">
        <v>28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60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20</v>
      </c>
      <c r="C4" s="2" t="s">
        <v>16</v>
      </c>
      <c r="D4" s="2" t="s">
        <v>18</v>
      </c>
      <c r="E4" s="2"/>
      <c r="F4" s="2"/>
      <c r="G4" s="2"/>
      <c r="H4" s="2"/>
      <c r="I4" s="2" t="s">
        <v>19</v>
      </c>
      <c r="J4" s="2"/>
      <c r="K4" s="2"/>
      <c r="L4" s="2"/>
    </row>
    <row r="5" spans="1:12" x14ac:dyDescent="0.15">
      <c r="A5" s="2">
        <f>A4+1</f>
        <v>2</v>
      </c>
      <c r="B5" s="2" t="s">
        <v>21</v>
      </c>
      <c r="C5" s="2" t="s">
        <v>17</v>
      </c>
      <c r="D5" s="2" t="s">
        <v>18</v>
      </c>
      <c r="E5" s="2"/>
      <c r="F5" s="2"/>
      <c r="G5" s="2"/>
      <c r="H5" s="2"/>
      <c r="I5" s="2" t="s">
        <v>19</v>
      </c>
      <c r="J5" s="2"/>
      <c r="K5" s="2" t="s">
        <v>4</v>
      </c>
      <c r="L5" s="2"/>
    </row>
    <row r="6" spans="1:12" x14ac:dyDescent="0.15">
      <c r="A6" s="2">
        <f t="shared" ref="A6:A69" si="0">A5+1</f>
        <v>3</v>
      </c>
      <c r="B6" s="2" t="s">
        <v>30</v>
      </c>
      <c r="C6" s="2" t="s">
        <v>29</v>
      </c>
      <c r="D6" s="2" t="s">
        <v>18</v>
      </c>
      <c r="E6" s="2"/>
      <c r="F6" s="2" t="s">
        <v>19</v>
      </c>
      <c r="G6" s="2"/>
      <c r="H6" s="2" t="s">
        <v>19</v>
      </c>
      <c r="I6" s="2"/>
      <c r="J6" s="2"/>
      <c r="K6" s="2"/>
      <c r="L6" s="2"/>
    </row>
    <row r="7" spans="1:12" x14ac:dyDescent="0.15">
      <c r="A7" s="2">
        <f t="shared" si="0"/>
        <v>4</v>
      </c>
      <c r="B7" s="2" t="s">
        <v>31</v>
      </c>
      <c r="C7" s="2" t="s">
        <v>32</v>
      </c>
      <c r="D7" s="2" t="s">
        <v>18</v>
      </c>
      <c r="E7" s="2"/>
      <c r="F7" s="2"/>
      <c r="G7" s="2"/>
      <c r="H7" s="2"/>
      <c r="I7" s="2"/>
      <c r="J7" s="2"/>
      <c r="K7" s="2" t="s">
        <v>3</v>
      </c>
      <c r="L7" s="2"/>
    </row>
    <row r="8" spans="1:12" x14ac:dyDescent="0.15">
      <c r="A8" s="2">
        <f t="shared" si="0"/>
        <v>5</v>
      </c>
      <c r="B8" s="2" t="s">
        <v>33</v>
      </c>
      <c r="C8" s="2" t="s">
        <v>34</v>
      </c>
      <c r="D8" s="2" t="s">
        <v>18</v>
      </c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 t="s">
        <v>36</v>
      </c>
      <c r="C9" s="2" t="s">
        <v>35</v>
      </c>
      <c r="D9" s="2" t="s">
        <v>83</v>
      </c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 t="s">
        <v>38</v>
      </c>
      <c r="C10" s="2" t="s">
        <v>37</v>
      </c>
      <c r="D10" s="2" t="s">
        <v>18</v>
      </c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 t="s">
        <v>84</v>
      </c>
      <c r="C11" s="2" t="s">
        <v>39</v>
      </c>
      <c r="D11" s="2" t="s">
        <v>18</v>
      </c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 t="s">
        <v>41</v>
      </c>
      <c r="C12" s="2" t="s">
        <v>40</v>
      </c>
      <c r="D12" s="2" t="s">
        <v>18</v>
      </c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 t="s">
        <v>43</v>
      </c>
      <c r="C13" s="2" t="s">
        <v>42</v>
      </c>
      <c r="D13" s="2" t="s">
        <v>18</v>
      </c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 t="s">
        <v>56</v>
      </c>
      <c r="C14" s="2" t="s">
        <v>57</v>
      </c>
      <c r="D14" s="2" t="s">
        <v>18</v>
      </c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74"/>
  <sheetViews>
    <sheetView zoomScale="175" zoomScaleNormal="175" workbookViewId="0">
      <selection activeCell="B2" sqref="B2:D2"/>
    </sheetView>
  </sheetViews>
  <sheetFormatPr defaultRowHeight="13.5" x14ac:dyDescent="0.15"/>
  <cols>
    <col min="1" max="1" width="9" customWidth="1"/>
    <col min="2" max="2" width="16.5" customWidth="1"/>
    <col min="3" max="3" width="21.75" bestFit="1" customWidth="1"/>
    <col min="4" max="4" width="7" customWidth="1"/>
    <col min="5" max="5" width="7.125" customWidth="1"/>
    <col min="6" max="6" width="3.75" customWidth="1"/>
    <col min="7" max="7" width="3.625" customWidth="1"/>
    <col min="8" max="9" width="7.375" customWidth="1"/>
    <col min="10" max="10" width="6.875" bestFit="1" customWidth="1"/>
    <col min="11" max="11" width="19" customWidth="1"/>
  </cols>
  <sheetData>
    <row r="2" spans="1:12" x14ac:dyDescent="0.15">
      <c r="A2" s="2" t="s">
        <v>6</v>
      </c>
      <c r="B2" s="5" t="s">
        <v>89</v>
      </c>
      <c r="C2" s="5"/>
      <c r="D2" s="5"/>
      <c r="E2" s="2" t="s">
        <v>14</v>
      </c>
      <c r="F2" s="6" t="s">
        <v>44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59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30</v>
      </c>
      <c r="C4" s="2" t="s">
        <v>29</v>
      </c>
      <c r="D4" s="2" t="s">
        <v>18</v>
      </c>
      <c r="E4" s="2"/>
      <c r="F4" s="2"/>
      <c r="G4" s="2"/>
      <c r="H4" s="2"/>
      <c r="I4" s="2" t="s">
        <v>19</v>
      </c>
      <c r="J4" s="2"/>
      <c r="K4" s="2"/>
      <c r="L4" s="2"/>
    </row>
    <row r="5" spans="1:12" x14ac:dyDescent="0.15">
      <c r="A5" s="2">
        <f>A4+1</f>
        <v>2</v>
      </c>
      <c r="B5" s="2" t="s">
        <v>46</v>
      </c>
      <c r="C5" s="2" t="s">
        <v>45</v>
      </c>
      <c r="D5" s="2" t="s">
        <v>18</v>
      </c>
      <c r="E5" s="2"/>
      <c r="F5" s="2" t="s">
        <v>19</v>
      </c>
      <c r="G5" s="2"/>
      <c r="H5" s="2" t="s">
        <v>19</v>
      </c>
      <c r="I5" s="2"/>
      <c r="J5" s="2"/>
      <c r="K5" s="2"/>
      <c r="L5" s="2"/>
    </row>
    <row r="6" spans="1:12" x14ac:dyDescent="0.15">
      <c r="A6" s="2">
        <f t="shared" ref="A6:A69" si="0">A5+1</f>
        <v>3</v>
      </c>
      <c r="B6" s="2" t="s">
        <v>47</v>
      </c>
      <c r="C6" s="2" t="s">
        <v>48</v>
      </c>
      <c r="D6" s="2" t="s">
        <v>18</v>
      </c>
      <c r="E6" s="2"/>
      <c r="F6" s="2"/>
      <c r="G6" s="2"/>
      <c r="H6" s="2"/>
      <c r="I6" s="2"/>
      <c r="J6" s="2"/>
      <c r="K6" s="2"/>
      <c r="L6" s="2"/>
    </row>
    <row r="7" spans="1:12" x14ac:dyDescent="0.15">
      <c r="A7" s="2">
        <f t="shared" si="0"/>
        <v>4</v>
      </c>
      <c r="B7" s="2" t="s">
        <v>49</v>
      </c>
      <c r="C7" s="2" t="s">
        <v>50</v>
      </c>
      <c r="D7" s="2" t="s">
        <v>22</v>
      </c>
      <c r="E7" s="2"/>
      <c r="F7" s="2"/>
      <c r="G7" s="2"/>
      <c r="H7" s="2"/>
      <c r="I7" s="2"/>
      <c r="J7" s="2"/>
      <c r="K7" s="2"/>
      <c r="L7" s="2"/>
    </row>
    <row r="8" spans="1:12" x14ac:dyDescent="0.15">
      <c r="A8" s="2">
        <f t="shared" si="0"/>
        <v>5</v>
      </c>
      <c r="B8" s="2" t="s">
        <v>51</v>
      </c>
      <c r="C8" s="2" t="s">
        <v>52</v>
      </c>
      <c r="D8" s="2" t="s">
        <v>18</v>
      </c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 t="s">
        <v>55</v>
      </c>
      <c r="C9" s="2" t="s">
        <v>53</v>
      </c>
      <c r="D9" s="2" t="s">
        <v>54</v>
      </c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 t="s">
        <v>62</v>
      </c>
      <c r="C10" s="2" t="s">
        <v>62</v>
      </c>
      <c r="D10" s="2" t="s">
        <v>18</v>
      </c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 t="s">
        <v>85</v>
      </c>
      <c r="C11" s="2" t="s">
        <v>64</v>
      </c>
      <c r="D11" s="2" t="s">
        <v>18</v>
      </c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174"/>
  <sheetViews>
    <sheetView zoomScale="175" zoomScaleNormal="175" workbookViewId="0">
      <selection activeCell="I4" sqref="I4"/>
    </sheetView>
  </sheetViews>
  <sheetFormatPr defaultRowHeight="13.5" x14ac:dyDescent="0.15"/>
  <cols>
    <col min="1" max="1" width="9" customWidth="1"/>
    <col min="2" max="2" width="16.5" customWidth="1"/>
    <col min="3" max="3" width="18.75" customWidth="1"/>
    <col min="4" max="4" width="7" customWidth="1"/>
    <col min="5" max="5" width="7.125" customWidth="1"/>
    <col min="6" max="6" width="3.75" customWidth="1"/>
    <col min="7" max="7" width="3.625" customWidth="1"/>
    <col min="8" max="8" width="7.375" customWidth="1"/>
    <col min="9" max="10" width="5.75" customWidth="1"/>
    <col min="11" max="11" width="19" customWidth="1"/>
  </cols>
  <sheetData>
    <row r="2" spans="1:12" x14ac:dyDescent="0.15">
      <c r="A2" s="2" t="s">
        <v>6</v>
      </c>
      <c r="B2" s="5" t="s">
        <v>90</v>
      </c>
      <c r="C2" s="5"/>
      <c r="D2" s="5"/>
      <c r="E2" s="2" t="s">
        <v>14</v>
      </c>
      <c r="F2" s="6" t="s">
        <v>86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60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30</v>
      </c>
      <c r="C4" s="2" t="s">
        <v>29</v>
      </c>
      <c r="D4" s="2" t="s">
        <v>18</v>
      </c>
      <c r="E4" s="2"/>
      <c r="F4" s="2" t="s">
        <v>19</v>
      </c>
      <c r="G4" s="2"/>
      <c r="H4" s="2" t="s">
        <v>19</v>
      </c>
      <c r="I4" s="2"/>
      <c r="J4" s="2"/>
      <c r="K4" s="2"/>
      <c r="L4" s="2"/>
    </row>
    <row r="5" spans="1:12" x14ac:dyDescent="0.15">
      <c r="A5" s="2">
        <f>A4+1</f>
        <v>2</v>
      </c>
      <c r="B5" s="2" t="s">
        <v>66</v>
      </c>
      <c r="C5" s="2" t="s">
        <v>67</v>
      </c>
      <c r="D5" s="2" t="s">
        <v>18</v>
      </c>
      <c r="E5" s="2"/>
      <c r="F5" s="2" t="s">
        <v>19</v>
      </c>
      <c r="G5" s="2"/>
      <c r="H5" s="2" t="s">
        <v>19</v>
      </c>
      <c r="I5" s="2" t="s">
        <v>19</v>
      </c>
      <c r="J5" s="2"/>
      <c r="K5" s="2"/>
      <c r="L5" s="2"/>
    </row>
    <row r="6" spans="1:12" x14ac:dyDescent="0.15">
      <c r="A6" s="2">
        <f t="shared" ref="A6:A69" si="0">A5+1</f>
        <v>3</v>
      </c>
      <c r="B6" s="2" t="s">
        <v>61</v>
      </c>
      <c r="C6" s="2" t="s">
        <v>58</v>
      </c>
      <c r="D6" s="2" t="s">
        <v>22</v>
      </c>
      <c r="E6" s="2"/>
      <c r="F6" s="2"/>
      <c r="G6" s="2"/>
      <c r="H6" s="2"/>
      <c r="I6" s="2"/>
      <c r="J6" s="2">
        <v>0</v>
      </c>
      <c r="K6" s="2" t="s">
        <v>63</v>
      </c>
      <c r="L6" s="2"/>
    </row>
    <row r="7" spans="1:12" x14ac:dyDescent="0.15">
      <c r="A7" s="2">
        <f t="shared" si="0"/>
        <v>4</v>
      </c>
      <c r="B7" s="2" t="s">
        <v>69</v>
      </c>
      <c r="C7" s="2" t="s">
        <v>68</v>
      </c>
      <c r="D7" s="2" t="s">
        <v>83</v>
      </c>
      <c r="E7" s="2"/>
      <c r="F7" s="2"/>
      <c r="G7" s="2"/>
      <c r="H7" s="2"/>
      <c r="I7" s="2"/>
      <c r="J7" s="2"/>
      <c r="K7" s="2"/>
      <c r="L7" s="2"/>
    </row>
    <row r="8" spans="1:12" x14ac:dyDescent="0.15">
      <c r="A8" s="2">
        <f t="shared" si="0"/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74"/>
  <sheetViews>
    <sheetView zoomScale="175" zoomScaleNormal="175" workbookViewId="0">
      <selection activeCell="I6" sqref="I6"/>
    </sheetView>
  </sheetViews>
  <sheetFormatPr defaultRowHeight="13.5" x14ac:dyDescent="0.15"/>
  <cols>
    <col min="1" max="1" width="9" customWidth="1"/>
    <col min="2" max="2" width="16.5" customWidth="1"/>
    <col min="3" max="3" width="21.75" customWidth="1"/>
    <col min="4" max="4" width="7" customWidth="1"/>
    <col min="5" max="5" width="7.125" customWidth="1"/>
    <col min="6" max="6" width="3.75" customWidth="1"/>
    <col min="7" max="7" width="3.625" customWidth="1"/>
    <col min="8" max="9" width="7.375" customWidth="1"/>
    <col min="10" max="10" width="6.875" customWidth="1"/>
    <col min="11" max="11" width="19" customWidth="1"/>
  </cols>
  <sheetData>
    <row r="2" spans="1:12" x14ac:dyDescent="0.15">
      <c r="A2" s="2" t="s">
        <v>6</v>
      </c>
      <c r="B2" s="5" t="s">
        <v>91</v>
      </c>
      <c r="C2" s="5"/>
      <c r="D2" s="5"/>
      <c r="E2" s="2" t="s">
        <v>14</v>
      </c>
      <c r="F2" s="6" t="s">
        <v>65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59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66</v>
      </c>
      <c r="C4" s="2" t="s">
        <v>67</v>
      </c>
      <c r="D4" s="2" t="s">
        <v>18</v>
      </c>
      <c r="E4" s="2"/>
      <c r="F4" s="4" t="s">
        <v>19</v>
      </c>
      <c r="G4" s="4"/>
      <c r="H4" s="4" t="s">
        <v>19</v>
      </c>
      <c r="I4" s="4" t="s">
        <v>19</v>
      </c>
      <c r="J4" s="2"/>
      <c r="K4" s="2"/>
      <c r="L4" s="2"/>
    </row>
    <row r="5" spans="1:12" x14ac:dyDescent="0.15">
      <c r="A5" s="2">
        <f>A4+1</f>
        <v>2</v>
      </c>
      <c r="B5" s="2" t="s">
        <v>71</v>
      </c>
      <c r="C5" s="2" t="s">
        <v>70</v>
      </c>
      <c r="D5" s="2" t="s">
        <v>18</v>
      </c>
      <c r="E5" s="2"/>
      <c r="F5" s="4" t="s">
        <v>19</v>
      </c>
      <c r="G5" s="2"/>
      <c r="H5" s="4" t="s">
        <v>19</v>
      </c>
      <c r="I5" s="2"/>
      <c r="J5" s="2"/>
      <c r="K5" s="2"/>
      <c r="L5" s="2"/>
    </row>
    <row r="6" spans="1:12" x14ac:dyDescent="0.15">
      <c r="A6" s="2">
        <f t="shared" ref="A6:A69" si="0">A5+1</f>
        <v>3</v>
      </c>
      <c r="B6" s="2" t="s">
        <v>46</v>
      </c>
      <c r="C6" s="2" t="s">
        <v>45</v>
      </c>
      <c r="D6" s="2" t="s">
        <v>18</v>
      </c>
      <c r="E6" s="2"/>
      <c r="F6" s="2"/>
      <c r="G6" s="2"/>
      <c r="H6" s="2"/>
      <c r="I6" s="4" t="s">
        <v>19</v>
      </c>
      <c r="J6" s="2"/>
      <c r="K6" s="2"/>
      <c r="L6" s="2"/>
    </row>
    <row r="7" spans="1:12" x14ac:dyDescent="0.15">
      <c r="A7" s="2">
        <f t="shared" si="0"/>
        <v>4</v>
      </c>
      <c r="B7" s="2" t="s">
        <v>93</v>
      </c>
      <c r="C7" s="2" t="s">
        <v>96</v>
      </c>
      <c r="D7" s="2" t="s">
        <v>18</v>
      </c>
      <c r="E7" s="2"/>
      <c r="F7" s="2"/>
      <c r="G7" s="2"/>
      <c r="H7" s="2"/>
      <c r="I7" s="2"/>
      <c r="J7" s="2"/>
      <c r="K7" s="2"/>
      <c r="L7" s="2"/>
    </row>
    <row r="8" spans="1:12" x14ac:dyDescent="0.15">
      <c r="A8" s="2">
        <f t="shared" si="0"/>
        <v>5</v>
      </c>
      <c r="B8" s="2" t="s">
        <v>94</v>
      </c>
      <c r="C8" s="2" t="s">
        <v>97</v>
      </c>
      <c r="D8" s="2" t="s">
        <v>95</v>
      </c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 t="s">
        <v>80</v>
      </c>
      <c r="C9" s="2" t="s">
        <v>81</v>
      </c>
      <c r="D9" s="2" t="s">
        <v>18</v>
      </c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174"/>
  <sheetViews>
    <sheetView zoomScale="175" zoomScaleNormal="175" workbookViewId="0">
      <selection activeCell="A2" sqref="A2:L6"/>
    </sheetView>
  </sheetViews>
  <sheetFormatPr defaultRowHeight="13.5" x14ac:dyDescent="0.15"/>
  <cols>
    <col min="1" max="1" width="9" customWidth="1"/>
    <col min="2" max="2" width="16.5" customWidth="1"/>
    <col min="3" max="3" width="21.75" customWidth="1"/>
    <col min="4" max="4" width="7" customWidth="1"/>
    <col min="5" max="5" width="7.125" customWidth="1"/>
    <col min="6" max="6" width="3.75" customWidth="1"/>
    <col min="7" max="7" width="3.625" customWidth="1"/>
    <col min="8" max="9" width="7.375" customWidth="1"/>
    <col min="10" max="10" width="6.875" customWidth="1"/>
    <col min="11" max="11" width="19" customWidth="1"/>
  </cols>
  <sheetData>
    <row r="2" spans="1:12" x14ac:dyDescent="0.15">
      <c r="A2" s="2" t="s">
        <v>6</v>
      </c>
      <c r="B2" s="5" t="s">
        <v>98</v>
      </c>
      <c r="C2" s="5"/>
      <c r="D2" s="5"/>
      <c r="E2" s="2" t="s">
        <v>14</v>
      </c>
      <c r="F2" s="6" t="s">
        <v>99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59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66</v>
      </c>
      <c r="C4" s="2" t="s">
        <v>67</v>
      </c>
      <c r="D4" s="2" t="s">
        <v>18</v>
      </c>
      <c r="E4" s="2"/>
      <c r="F4" s="4" t="s">
        <v>19</v>
      </c>
      <c r="G4" s="4"/>
      <c r="H4" s="4" t="s">
        <v>19</v>
      </c>
      <c r="I4" s="4"/>
      <c r="J4" s="2"/>
      <c r="K4" s="2"/>
      <c r="L4" s="2"/>
    </row>
    <row r="5" spans="1:12" x14ac:dyDescent="0.15">
      <c r="A5" s="2">
        <f>A4+1</f>
        <v>2</v>
      </c>
      <c r="B5" s="2" t="s">
        <v>46</v>
      </c>
      <c r="C5" s="2" t="s">
        <v>45</v>
      </c>
      <c r="D5" s="2" t="s">
        <v>18</v>
      </c>
      <c r="E5" s="2"/>
      <c r="F5" s="4" t="s">
        <v>19</v>
      </c>
      <c r="G5" s="2"/>
      <c r="H5" s="4" t="s">
        <v>19</v>
      </c>
      <c r="I5" s="2"/>
      <c r="J5" s="2"/>
      <c r="K5" s="2"/>
      <c r="L5" s="2"/>
    </row>
    <row r="6" spans="1:12" x14ac:dyDescent="0.15">
      <c r="A6" s="2">
        <f t="shared" ref="A6:A69" si="0">A5+1</f>
        <v>3</v>
      </c>
      <c r="B6" s="2" t="s">
        <v>100</v>
      </c>
      <c r="C6" s="2" t="s">
        <v>101</v>
      </c>
      <c r="D6" s="2" t="s">
        <v>18</v>
      </c>
      <c r="E6" s="2"/>
      <c r="F6" s="2"/>
      <c r="G6" s="2"/>
      <c r="H6" s="2"/>
      <c r="I6" s="4"/>
      <c r="J6" s="2"/>
      <c r="K6" s="2"/>
      <c r="L6" s="2"/>
    </row>
    <row r="7" spans="1:12" x14ac:dyDescent="0.15">
      <c r="A7" s="2">
        <f t="shared" si="0"/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15">
      <c r="A8" s="2">
        <f t="shared" si="0"/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4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si="2"/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15">
      <c r="A174" s="2">
        <f t="shared" si="2"/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mergeCells count="2">
    <mergeCell ref="B2:D2"/>
    <mergeCell ref="F2:J2"/>
  </mergeCells>
  <phoneticPr fontId="5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173"/>
  <sheetViews>
    <sheetView tabSelected="1" zoomScale="175" zoomScaleNormal="175" workbookViewId="0">
      <selection activeCell="C5" sqref="C5"/>
    </sheetView>
  </sheetViews>
  <sheetFormatPr defaultRowHeight="13.5" x14ac:dyDescent="0.15"/>
  <cols>
    <col min="1" max="1" width="9" customWidth="1"/>
    <col min="2" max="2" width="16.5" customWidth="1"/>
    <col min="3" max="3" width="21.75" customWidth="1"/>
    <col min="4" max="4" width="7" customWidth="1"/>
    <col min="5" max="5" width="7.125" customWidth="1"/>
    <col min="6" max="6" width="3.75" customWidth="1"/>
    <col min="7" max="7" width="3.625" customWidth="1"/>
    <col min="8" max="9" width="7.375" customWidth="1"/>
    <col min="10" max="10" width="6.875" customWidth="1"/>
    <col min="11" max="11" width="19" customWidth="1"/>
  </cols>
  <sheetData>
    <row r="2" spans="1:12" x14ac:dyDescent="0.15">
      <c r="A2" s="2" t="s">
        <v>6</v>
      </c>
      <c r="B2" s="5" t="s">
        <v>92</v>
      </c>
      <c r="C2" s="5"/>
      <c r="D2" s="5"/>
      <c r="E2" s="2" t="s">
        <v>14</v>
      </c>
      <c r="F2" s="6" t="s">
        <v>82</v>
      </c>
      <c r="G2" s="7"/>
      <c r="H2" s="7"/>
      <c r="I2" s="7"/>
      <c r="J2" s="8"/>
      <c r="K2" s="2"/>
      <c r="L2" s="2"/>
    </row>
    <row r="3" spans="1:12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59</v>
      </c>
      <c r="K3" s="3" t="s">
        <v>0</v>
      </c>
      <c r="L3" s="3" t="s">
        <v>1</v>
      </c>
    </row>
    <row r="4" spans="1:12" x14ac:dyDescent="0.15">
      <c r="A4" s="2">
        <v>1</v>
      </c>
      <c r="B4" s="2" t="s">
        <v>72</v>
      </c>
      <c r="C4" s="2" t="s">
        <v>102</v>
      </c>
      <c r="D4" s="2" t="s">
        <v>18</v>
      </c>
      <c r="E4" s="2"/>
      <c r="F4" s="4" t="s">
        <v>19</v>
      </c>
      <c r="G4" s="2"/>
      <c r="H4" s="4" t="s">
        <v>19</v>
      </c>
      <c r="I4" s="2"/>
      <c r="J4" s="2"/>
      <c r="K4" s="2"/>
      <c r="L4" s="2"/>
    </row>
    <row r="5" spans="1:12" x14ac:dyDescent="0.15">
      <c r="A5" s="2">
        <f>A4+1</f>
        <v>2</v>
      </c>
      <c r="B5" s="2" t="s">
        <v>75</v>
      </c>
      <c r="C5" s="2" t="s">
        <v>76</v>
      </c>
      <c r="D5" s="2" t="s">
        <v>18</v>
      </c>
      <c r="E5" s="2"/>
      <c r="F5" s="4" t="s">
        <v>19</v>
      </c>
      <c r="G5" s="4"/>
      <c r="H5" s="4" t="s">
        <v>19</v>
      </c>
      <c r="I5" s="4"/>
      <c r="J5" s="2"/>
      <c r="K5" s="2"/>
      <c r="L5" s="2"/>
    </row>
    <row r="6" spans="1:12" x14ac:dyDescent="0.15">
      <c r="A6" s="2">
        <f t="shared" ref="A6:A69" si="0">A5+1</f>
        <v>3</v>
      </c>
      <c r="B6" s="2" t="s">
        <v>77</v>
      </c>
      <c r="C6" s="2" t="s">
        <v>78</v>
      </c>
      <c r="D6" s="2" t="s">
        <v>22</v>
      </c>
      <c r="E6" s="2"/>
      <c r="F6" s="4" t="s">
        <v>19</v>
      </c>
      <c r="G6" s="2"/>
      <c r="H6" s="4" t="s">
        <v>19</v>
      </c>
      <c r="I6" s="2"/>
      <c r="J6" s="2"/>
      <c r="K6" s="2" t="s">
        <v>79</v>
      </c>
      <c r="L6" s="2"/>
    </row>
    <row r="7" spans="1:12" x14ac:dyDescent="0.15">
      <c r="A7" s="2">
        <f t="shared" si="0"/>
        <v>4</v>
      </c>
      <c r="B7" s="2" t="s">
        <v>73</v>
      </c>
      <c r="C7" s="2" t="s">
        <v>74</v>
      </c>
      <c r="D7" s="2" t="s">
        <v>18</v>
      </c>
      <c r="E7" s="2"/>
      <c r="F7" s="2"/>
      <c r="G7" s="2"/>
      <c r="H7" s="2"/>
      <c r="I7" s="2"/>
      <c r="J7" s="2"/>
      <c r="K7" s="2"/>
      <c r="L7" s="2"/>
    </row>
    <row r="8" spans="1:12" x14ac:dyDescent="0.15">
      <c r="A8" s="2">
        <f t="shared" si="0"/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15">
      <c r="A9" s="2">
        <f t="shared" si="0"/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15">
      <c r="A10" s="2">
        <f t="shared" si="0"/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15">
      <c r="A11" s="2">
        <f t="shared" si="0"/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15">
      <c r="A12" s="2">
        <f t="shared" si="0"/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15">
      <c r="A13" s="2">
        <f t="shared" si="0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15">
      <c r="A14" s="2">
        <f t="shared" si="0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15">
      <c r="A15" s="2">
        <f t="shared" si="0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>
        <f t="shared" si="0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>
        <f t="shared" si="0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>
        <f t="shared" si="0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>
        <f t="shared" si="0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>
        <f t="shared" si="0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>
        <f t="shared" si="0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>
        <f t="shared" si="0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>
        <f t="shared" si="0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>
        <f t="shared" si="0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>
        <f t="shared" si="0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>
        <f t="shared" si="0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>
        <f t="shared" si="0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>
        <f t="shared" si="0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>
        <f t="shared" si="0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>
        <f t="shared" si="0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>
        <f t="shared" si="0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>
        <f t="shared" si="0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>
        <f t="shared" si="0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>
        <f t="shared" si="0"/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>
        <f t="shared" si="0"/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>
        <f t="shared" si="0"/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>
        <f t="shared" si="0"/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>
        <f t="shared" si="0"/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>
        <f t="shared" si="0"/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>
        <f t="shared" si="0"/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>
        <f t="shared" si="0"/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>
        <f t="shared" si="0"/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>
        <f t="shared" si="0"/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>
        <f t="shared" si="0"/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>
        <f t="shared" si="0"/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>
        <f t="shared" si="0"/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>
        <f t="shared" si="0"/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>
        <f t="shared" si="0"/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>
        <f t="shared" si="0"/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>
        <f t="shared" si="0"/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>
        <f t="shared" si="0"/>
        <v>50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>
        <f t="shared" si="0"/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>
        <f t="shared" si="0"/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>
        <f t="shared" si="0"/>
        <v>53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>
        <f t="shared" si="0"/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>
        <f t="shared" si="0"/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>
        <f t="shared" si="0"/>
        <v>56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>
        <f t="shared" si="0"/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>
        <f t="shared" si="0"/>
        <v>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>
        <f t="shared" si="0"/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>
        <f t="shared" si="0"/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>
        <f t="shared" si="0"/>
        <v>61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>
        <f t="shared" si="0"/>
        <v>62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>
        <f t="shared" si="0"/>
        <v>63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>
        <f t="shared" si="0"/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>
        <f t="shared" si="0"/>
        <v>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>
        <f t="shared" si="0"/>
        <v>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>
        <f t="shared" ref="A70:A133" si="1">A69+1</f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>
        <f t="shared" si="1"/>
        <v>68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>
        <f t="shared" si="1"/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>
        <f t="shared" si="1"/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>
        <f t="shared" si="1"/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>
        <f t="shared" si="1"/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>
        <f t="shared" si="1"/>
        <v>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>
        <f t="shared" si="1"/>
        <v>74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>
        <f t="shared" si="1"/>
        <v>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15">
      <c r="A79" s="2">
        <f t="shared" si="1"/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15">
      <c r="A80" s="2">
        <f t="shared" si="1"/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15">
      <c r="A81" s="2">
        <f t="shared" si="1"/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15">
      <c r="A82" s="2">
        <f t="shared" si="1"/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15">
      <c r="A83" s="2">
        <f t="shared" si="1"/>
        <v>80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15">
      <c r="A84" s="2">
        <f t="shared" si="1"/>
        <v>81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15">
      <c r="A85" s="2">
        <f t="shared" si="1"/>
        <v>82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15">
      <c r="A86" s="2">
        <f t="shared" si="1"/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15">
      <c r="A87" s="2">
        <f t="shared" si="1"/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15">
      <c r="A88" s="2">
        <f t="shared" si="1"/>
        <v>85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15">
      <c r="A89" s="2">
        <f t="shared" si="1"/>
        <v>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15">
      <c r="A90" s="2">
        <f t="shared" si="1"/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15">
      <c r="A91" s="2">
        <f t="shared" si="1"/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15">
      <c r="A92" s="2">
        <f t="shared" si="1"/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15">
      <c r="A93" s="2">
        <f t="shared" si="1"/>
        <v>90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15">
      <c r="A94" s="2">
        <f t="shared" si="1"/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15">
      <c r="A95" s="2">
        <f t="shared" si="1"/>
        <v>92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15">
      <c r="A96" s="2">
        <f t="shared" si="1"/>
        <v>93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15">
      <c r="A97" s="2">
        <f t="shared" si="1"/>
        <v>94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15">
      <c r="A98" s="2">
        <f t="shared" si="1"/>
        <v>95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15">
      <c r="A99" s="2">
        <f t="shared" si="1"/>
        <v>96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15">
      <c r="A100" s="2">
        <f t="shared" si="1"/>
        <v>97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15">
      <c r="A101" s="2">
        <f t="shared" si="1"/>
        <v>98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15">
      <c r="A102" s="2">
        <f t="shared" si="1"/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15">
      <c r="A103" s="2">
        <f t="shared" si="1"/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15">
      <c r="A104" s="2">
        <f t="shared" si="1"/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15">
      <c r="A105" s="2">
        <f t="shared" si="1"/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15">
      <c r="A106" s="2">
        <f t="shared" si="1"/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15">
      <c r="A107" s="2">
        <f t="shared" si="1"/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15">
      <c r="A108" s="2">
        <f t="shared" si="1"/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15">
      <c r="A109" s="2">
        <f t="shared" si="1"/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15">
      <c r="A110" s="2">
        <f t="shared" si="1"/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15">
      <c r="A111" s="2">
        <f t="shared" si="1"/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15">
      <c r="A112" s="2">
        <f t="shared" si="1"/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15">
      <c r="A113" s="2">
        <f t="shared" si="1"/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15">
      <c r="A114" s="2">
        <f t="shared" si="1"/>
        <v>111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15">
      <c r="A115" s="2">
        <f t="shared" si="1"/>
        <v>112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15">
      <c r="A116" s="2">
        <f t="shared" si="1"/>
        <v>113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15">
      <c r="A117" s="2">
        <f t="shared" si="1"/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15">
      <c r="A118" s="2">
        <f t="shared" si="1"/>
        <v>115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15">
      <c r="A119" s="2">
        <f t="shared" si="1"/>
        <v>116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15">
      <c r="A120" s="2">
        <f t="shared" si="1"/>
        <v>117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15">
      <c r="A121" s="2">
        <f t="shared" si="1"/>
        <v>118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15">
      <c r="A122" s="2">
        <f t="shared" si="1"/>
        <v>119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15">
      <c r="A123" s="2">
        <f t="shared" si="1"/>
        <v>120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15">
      <c r="A124" s="2">
        <f t="shared" si="1"/>
        <v>121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15">
      <c r="A125" s="2">
        <f t="shared" si="1"/>
        <v>122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15">
      <c r="A126" s="2">
        <f t="shared" si="1"/>
        <v>123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15">
      <c r="A127" s="2">
        <f t="shared" si="1"/>
        <v>124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15">
      <c r="A128" s="2">
        <f t="shared" si="1"/>
        <v>125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15">
      <c r="A129" s="2">
        <f t="shared" si="1"/>
        <v>126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15">
      <c r="A130" s="2">
        <f t="shared" si="1"/>
        <v>127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15">
      <c r="A131" s="2">
        <f t="shared" si="1"/>
        <v>128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15">
      <c r="A132" s="2">
        <f t="shared" si="1"/>
        <v>129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15">
      <c r="A133" s="2">
        <f t="shared" si="1"/>
        <v>130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15">
      <c r="A134" s="2">
        <f t="shared" ref="A134:A172" si="2">A133+1</f>
        <v>131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15">
      <c r="A135" s="2">
        <f t="shared" si="2"/>
        <v>132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15">
      <c r="A136" s="2">
        <f t="shared" si="2"/>
        <v>133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15">
      <c r="A137" s="2">
        <f t="shared" si="2"/>
        <v>134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15">
      <c r="A138" s="2">
        <f t="shared" si="2"/>
        <v>135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15">
      <c r="A139" s="2">
        <f t="shared" si="2"/>
        <v>136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15">
      <c r="A140" s="2">
        <f t="shared" si="2"/>
        <v>137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15">
      <c r="A141" s="2">
        <f t="shared" si="2"/>
        <v>138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15">
      <c r="A142" s="2">
        <f t="shared" si="2"/>
        <v>139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15">
      <c r="A143" s="2">
        <f t="shared" si="2"/>
        <v>140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15">
      <c r="A144" s="2">
        <f t="shared" si="2"/>
        <v>141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15">
      <c r="A145" s="2">
        <f t="shared" si="2"/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15">
      <c r="A146" s="2">
        <f t="shared" si="2"/>
        <v>143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15">
      <c r="A147" s="2">
        <f t="shared" si="2"/>
        <v>144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15">
      <c r="A148" s="2">
        <f t="shared" si="2"/>
        <v>145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15">
      <c r="A149" s="2">
        <f t="shared" si="2"/>
        <v>146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15">
      <c r="A150" s="2">
        <f t="shared" si="2"/>
        <v>147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15">
      <c r="A151" s="2">
        <f t="shared" si="2"/>
        <v>148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15">
      <c r="A152" s="2">
        <f t="shared" si="2"/>
        <v>149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15">
      <c r="A153" s="2">
        <f t="shared" si="2"/>
        <v>150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15">
      <c r="A154" s="2">
        <f t="shared" si="2"/>
        <v>151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15">
      <c r="A155" s="2">
        <f t="shared" si="2"/>
        <v>152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15">
      <c r="A156" s="2">
        <f t="shared" si="2"/>
        <v>153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15">
      <c r="A157" s="2">
        <f t="shared" si="2"/>
        <v>154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15">
      <c r="A158" s="2">
        <f t="shared" si="2"/>
        <v>155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15">
      <c r="A159" s="2">
        <f t="shared" si="2"/>
        <v>156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15">
      <c r="A160" s="2">
        <f t="shared" si="2"/>
        <v>157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15">
      <c r="A161" s="2">
        <f t="shared" si="2"/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15">
      <c r="A162" s="2">
        <f t="shared" si="2"/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15">
      <c r="A163" s="2">
        <f t="shared" si="2"/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15">
      <c r="A164" s="2">
        <f t="shared" si="2"/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15">
      <c r="A165" s="2">
        <f t="shared" si="2"/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15">
      <c r="A166" s="2">
        <f t="shared" si="2"/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15">
      <c r="A167" s="2">
        <f t="shared" si="2"/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15">
      <c r="A168" s="2">
        <f t="shared" si="2"/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15">
      <c r="A169" s="2">
        <f t="shared" si="2"/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15">
      <c r="A170" s="2">
        <f t="shared" si="2"/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15">
      <c r="A171" s="2">
        <f t="shared" si="2"/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15">
      <c r="A172" s="2">
        <f t="shared" si="2"/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15">
      <c r="A173" s="2">
        <f t="shared" ref="A173" si="3">A172+1</f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</sheetData>
  <mergeCells count="2">
    <mergeCell ref="B2:D2"/>
    <mergeCell ref="F2:J2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DB情報</vt:lpstr>
      <vt:lpstr>テーブル比較</vt:lpstr>
      <vt:lpstr>患者テーブル</vt:lpstr>
      <vt:lpstr>検査テーブル</vt:lpstr>
      <vt:lpstr>サブシリーズテーブル</vt:lpstr>
      <vt:lpstr>ルートパステーブル</vt:lpstr>
      <vt:lpstr>ファイルパステーブル</vt:lpstr>
      <vt:lpstr>サブシリーズ圧縮テーブル</vt:lpstr>
      <vt:lpstr>データ付加情報テーブル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NORIAKI</dc:creator>
  <cp:lastModifiedBy>PixSpace</cp:lastModifiedBy>
  <dcterms:created xsi:type="dcterms:W3CDTF">2006-09-16T00:00:00Z</dcterms:created>
  <dcterms:modified xsi:type="dcterms:W3CDTF">2023-04-13T03:09:10Z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1041-9.1.0.4586</vt:lpwstr>
  </property>
</Properties>
</file>